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ategory &amp; Returns" sheetId="2" state="visible" r:id="rId2"/>
    <sheet name="RFM Seg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%"/>
    <numFmt numFmtId="167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164" fontId="6" fillId="0" borderId="1" pivotButton="0" quotePrefix="0" xfId="0"/>
    <xf numFmtId="166" fontId="6" fillId="0" borderId="1" pivotButton="0" quotePrefix="0" xfId="0"/>
    <xf numFmtId="0" fontId="7" fillId="0" borderId="2" pivotButton="0" quotePrefix="0" xfId="0"/>
    <xf numFmtId="3" fontId="7" fillId="0" borderId="2" pivotButton="0" quotePrefix="0" xfId="0"/>
    <xf numFmtId="164" fontId="7" fillId="0" borderId="2" pivotButton="0" quotePrefix="0" xfId="0"/>
    <xf numFmtId="166" fontId="7" fillId="0" borderId="2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Revenue Trend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Dashboard'!D8</f>
            </strRef>
          </tx>
          <spPr>
            <a:ln>
              <a:prstDash val="solid"/>
            </a:ln>
          </spPr>
          <cat>
            <numRef>
              <f>'Executive Dashboard'!$A$9:$A$32</f>
            </numRef>
          </cat>
          <val>
            <numRef>
              <f>'Executive Dashboard'!$D$9:$D$32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1" customWidth="1" min="3" max="3"/>
    <col width="15" customWidth="1" min="4" max="4"/>
    <col width="28" customWidth="1" min="5" max="5"/>
    <col width="24" customWidth="1" min="6" max="6"/>
    <col width="12" customWidth="1" min="7" max="7"/>
  </cols>
  <sheetData>
    <row r="1">
      <c r="A1" s="1" t="inlineStr">
        <is>
          <t xml:space="preserve">  APEX RETAIL - EXECUTIVE PERFORMANCE DASHBOARD</t>
        </is>
      </c>
    </row>
    <row r="2"/>
    <row r="3"/>
    <row r="4">
      <c r="A4" s="2" t="inlineStr">
        <is>
          <t>Total Net Sales</t>
        </is>
      </c>
      <c r="B4" s="2" t="inlineStr">
        <is>
          <t>Net Realized Revenue</t>
        </is>
      </c>
      <c r="C4" s="2" t="inlineStr">
        <is>
          <t>Net Profit</t>
        </is>
      </c>
      <c r="D4" s="2" t="inlineStr">
        <is>
          <t>Total Orders</t>
        </is>
      </c>
      <c r="E4" s="2" t="inlineStr">
        <is>
          <t>Average Order Value (AOV)</t>
        </is>
      </c>
      <c r="F4" s="2" t="inlineStr">
        <is>
          <t>Overall Return Rate</t>
        </is>
      </c>
    </row>
    <row r="5">
      <c r="A5" s="3" t="n">
        <v>1287915.1195</v>
      </c>
      <c r="B5" s="3" t="n">
        <v>1169014.395</v>
      </c>
      <c r="C5" s="3" t="n">
        <v>605382.865</v>
      </c>
      <c r="D5" s="4" t="n">
        <v>4914</v>
      </c>
      <c r="E5" s="3" t="n">
        <v>262.0909889092389</v>
      </c>
      <c r="F5" s="5" t="n">
        <v>9.340659340659341</v>
      </c>
    </row>
    <row r="6"/>
    <row r="7">
      <c r="A7" s="6" t="inlineStr">
        <is>
          <t>Monthly Financial Performance</t>
        </is>
      </c>
    </row>
    <row r="8">
      <c r="A8" s="7" t="inlineStr">
        <is>
          <t>Year-Month</t>
        </is>
      </c>
      <c r="B8" s="7" t="inlineStr">
        <is>
          <t>Orders</t>
        </is>
      </c>
      <c r="C8" s="7" t="inlineStr">
        <is>
          <t>Net Sales</t>
        </is>
      </c>
      <c r="D8" s="7" t="inlineStr">
        <is>
          <t>Net Revenue</t>
        </is>
      </c>
      <c r="E8" s="7" t="inlineStr">
        <is>
          <t>Net Profit</t>
        </is>
      </c>
      <c r="F8" s="7" t="inlineStr">
        <is>
          <t>MoM Growth %</t>
        </is>
      </c>
    </row>
    <row r="9">
      <c r="A9" s="8" t="inlineStr">
        <is>
          <t>2024-01</t>
        </is>
      </c>
      <c r="B9" s="9" t="n">
        <v>196</v>
      </c>
      <c r="C9" s="10" t="n">
        <v>64476.3</v>
      </c>
      <c r="D9" s="10" t="n">
        <v>61406</v>
      </c>
      <c r="E9" s="10" t="n">
        <v>31606.48</v>
      </c>
      <c r="F9" s="11" t="n">
        <v>0</v>
      </c>
    </row>
    <row r="10">
      <c r="A10" s="8" t="inlineStr">
        <is>
          <t>2024-02</t>
        </is>
      </c>
      <c r="B10" s="9" t="n">
        <v>210</v>
      </c>
      <c r="C10" s="10" t="n">
        <v>49705.5405</v>
      </c>
      <c r="D10" s="10" t="n">
        <v>47338.61</v>
      </c>
      <c r="E10" s="10" t="n">
        <v>25321.41</v>
      </c>
      <c r="F10" s="11" t="n">
        <v>-0.2291</v>
      </c>
    </row>
    <row r="11">
      <c r="A11" s="8" t="inlineStr">
        <is>
          <t>2024-03</t>
        </is>
      </c>
      <c r="B11" s="9" t="n">
        <v>189</v>
      </c>
      <c r="C11" s="10" t="n">
        <v>54201.777</v>
      </c>
      <c r="D11" s="10" t="n">
        <v>51620.74</v>
      </c>
      <c r="E11" s="10" t="n">
        <v>26405.62</v>
      </c>
      <c r="F11" s="11" t="n">
        <v>0.09050000000000001</v>
      </c>
    </row>
    <row r="12">
      <c r="A12" s="8" t="inlineStr">
        <is>
          <t>2024-04</t>
        </is>
      </c>
      <c r="B12" s="9" t="n">
        <v>218</v>
      </c>
      <c r="C12" s="10" t="n">
        <v>48389.754</v>
      </c>
      <c r="D12" s="10" t="n">
        <v>46085.48</v>
      </c>
      <c r="E12" s="10" t="n">
        <v>23822.6</v>
      </c>
      <c r="F12" s="11" t="n">
        <v>-0.1072</v>
      </c>
    </row>
    <row r="13">
      <c r="A13" s="8" t="inlineStr">
        <is>
          <t>2024-05</t>
        </is>
      </c>
      <c r="B13" s="9" t="n">
        <v>203</v>
      </c>
      <c r="C13" s="10" t="n">
        <v>46344.4695</v>
      </c>
      <c r="D13" s="10" t="n">
        <v>44137.59</v>
      </c>
      <c r="E13" s="10" t="n">
        <v>23219.74</v>
      </c>
      <c r="F13" s="11" t="n">
        <v>-0.0423</v>
      </c>
    </row>
    <row r="14">
      <c r="A14" s="8" t="inlineStr">
        <is>
          <t>2024-06</t>
        </is>
      </c>
      <c r="B14" s="9" t="n">
        <v>200</v>
      </c>
      <c r="C14" s="10" t="n">
        <v>44755.0635</v>
      </c>
      <c r="D14" s="10" t="n">
        <v>42623.87</v>
      </c>
      <c r="E14" s="10" t="n">
        <v>22300.05</v>
      </c>
      <c r="F14" s="11" t="n">
        <v>-0.0343</v>
      </c>
    </row>
    <row r="15">
      <c r="A15" s="8" t="inlineStr">
        <is>
          <t>2024-07</t>
        </is>
      </c>
      <c r="B15" s="9" t="n">
        <v>200</v>
      </c>
      <c r="C15" s="10" t="n">
        <v>48600.93</v>
      </c>
      <c r="D15" s="10" t="n">
        <v>46286.6</v>
      </c>
      <c r="E15" s="10" t="n">
        <v>23800.86</v>
      </c>
      <c r="F15" s="11" t="n">
        <v>0.0859</v>
      </c>
    </row>
    <row r="16">
      <c r="A16" s="8" t="inlineStr">
        <is>
          <t>2024-08</t>
        </is>
      </c>
      <c r="B16" s="9" t="n">
        <v>227</v>
      </c>
      <c r="C16" s="10" t="n">
        <v>61422.7635</v>
      </c>
      <c r="D16" s="10" t="n">
        <v>58497.87</v>
      </c>
      <c r="E16" s="10" t="n">
        <v>30063.83</v>
      </c>
      <c r="F16" s="11" t="n">
        <v>0.2638</v>
      </c>
    </row>
    <row r="17">
      <c r="A17" s="8" t="inlineStr">
        <is>
          <t>2024-09</t>
        </is>
      </c>
      <c r="B17" s="9" t="n">
        <v>207</v>
      </c>
      <c r="C17" s="10" t="n">
        <v>57508.962</v>
      </c>
      <c r="D17" s="10" t="n">
        <v>54770.44</v>
      </c>
      <c r="E17" s="10" t="n">
        <v>28189.31</v>
      </c>
      <c r="F17" s="11" t="n">
        <v>-0.06370000000000001</v>
      </c>
    </row>
    <row r="18">
      <c r="A18" s="8" t="inlineStr">
        <is>
          <t>2024-10</t>
        </is>
      </c>
      <c r="B18" s="9" t="n">
        <v>216</v>
      </c>
      <c r="C18" s="10" t="n">
        <v>56566.713</v>
      </c>
      <c r="D18" s="10" t="n">
        <v>53873.06</v>
      </c>
      <c r="E18" s="10" t="n">
        <v>27465.15</v>
      </c>
      <c r="F18" s="11" t="n">
        <v>-0.0164</v>
      </c>
    </row>
    <row r="19">
      <c r="A19" s="8" t="inlineStr">
        <is>
          <t>2024-11</t>
        </is>
      </c>
      <c r="B19" s="9" t="n">
        <v>201</v>
      </c>
      <c r="C19" s="10" t="n">
        <v>45816.981</v>
      </c>
      <c r="D19" s="10" t="n">
        <v>43635.22</v>
      </c>
      <c r="E19" s="10" t="n">
        <v>22515.65</v>
      </c>
      <c r="F19" s="11" t="n">
        <v>-0.19</v>
      </c>
    </row>
    <row r="20">
      <c r="A20" s="8" t="inlineStr">
        <is>
          <t>2024-12</t>
        </is>
      </c>
      <c r="B20" s="9" t="n">
        <v>215</v>
      </c>
      <c r="C20" s="10" t="n">
        <v>48083.2065</v>
      </c>
      <c r="D20" s="10" t="n">
        <v>45793.53</v>
      </c>
      <c r="E20" s="10" t="n">
        <v>23865.24</v>
      </c>
      <c r="F20" s="11" t="n">
        <v>0.0495</v>
      </c>
    </row>
    <row r="21">
      <c r="A21" s="8" t="inlineStr">
        <is>
          <t>2025-01</t>
        </is>
      </c>
      <c r="B21" s="9" t="n">
        <v>224</v>
      </c>
      <c r="C21" s="10" t="n">
        <v>60443.145</v>
      </c>
      <c r="D21" s="10" t="n">
        <v>57564.9</v>
      </c>
      <c r="E21" s="10" t="n">
        <v>29319.08</v>
      </c>
      <c r="F21" s="11" t="n">
        <v>0.2571</v>
      </c>
    </row>
    <row r="22">
      <c r="A22" s="8" t="inlineStr">
        <is>
          <t>2025-02</t>
        </is>
      </c>
      <c r="B22" s="9" t="n">
        <v>196</v>
      </c>
      <c r="C22" s="10" t="n">
        <v>53120.739</v>
      </c>
      <c r="D22" s="10" t="n">
        <v>50591.18</v>
      </c>
      <c r="E22" s="10" t="n">
        <v>26156.64</v>
      </c>
      <c r="F22" s="11" t="n">
        <v>-0.1211</v>
      </c>
    </row>
    <row r="23">
      <c r="A23" s="8" t="inlineStr">
        <is>
          <t>2025-03</t>
        </is>
      </c>
      <c r="B23" s="9" t="n">
        <v>207</v>
      </c>
      <c r="C23" s="10" t="n">
        <v>45435.1695</v>
      </c>
      <c r="D23" s="10" t="n">
        <v>43271.59</v>
      </c>
      <c r="E23" s="10" t="n">
        <v>22882</v>
      </c>
      <c r="F23" s="11" t="n">
        <v>-0.1447</v>
      </c>
    </row>
    <row r="24">
      <c r="A24" s="8" t="inlineStr">
        <is>
          <t>2025-04</t>
        </is>
      </c>
      <c r="B24" s="9" t="n">
        <v>197</v>
      </c>
      <c r="C24" s="10" t="n">
        <v>44910.747</v>
      </c>
      <c r="D24" s="10" t="n">
        <v>42772.14</v>
      </c>
      <c r="E24" s="10" t="n">
        <v>22336.5</v>
      </c>
      <c r="F24" s="11" t="n">
        <v>-0.0115</v>
      </c>
    </row>
    <row r="25">
      <c r="A25" s="8" t="inlineStr">
        <is>
          <t>2025-05</t>
        </is>
      </c>
      <c r="B25" s="9" t="n">
        <v>203</v>
      </c>
      <c r="C25" s="10" t="n">
        <v>50756.9055</v>
      </c>
      <c r="D25" s="10" t="n">
        <v>48339.91</v>
      </c>
      <c r="E25" s="10" t="n">
        <v>24833.49</v>
      </c>
      <c r="F25" s="11" t="n">
        <v>0.1302</v>
      </c>
    </row>
    <row r="26">
      <c r="A26" s="8" t="inlineStr">
        <is>
          <t>2025-06</t>
        </is>
      </c>
      <c r="B26" s="9" t="n">
        <v>183</v>
      </c>
      <c r="C26" s="10" t="n">
        <v>36707.433</v>
      </c>
      <c r="D26" s="10" t="n">
        <v>34959.46</v>
      </c>
      <c r="E26" s="10" t="n">
        <v>18542.97</v>
      </c>
      <c r="F26" s="11" t="n">
        <v>-0.2768</v>
      </c>
    </row>
    <row r="27">
      <c r="A27" s="8" t="inlineStr">
        <is>
          <t>2025-07</t>
        </is>
      </c>
      <c r="B27" s="9" t="n">
        <v>207</v>
      </c>
      <c r="C27" s="10" t="n">
        <v>44859.4965</v>
      </c>
      <c r="D27" s="10" t="n">
        <v>42723.33</v>
      </c>
      <c r="E27" s="10" t="n">
        <v>22439.28</v>
      </c>
      <c r="F27" s="11" t="n">
        <v>0.2221</v>
      </c>
    </row>
    <row r="28">
      <c r="A28" s="8" t="inlineStr">
        <is>
          <t>2025-08</t>
        </is>
      </c>
      <c r="B28" s="9" t="n">
        <v>201</v>
      </c>
      <c r="C28" s="10" t="n">
        <v>49961.4675</v>
      </c>
      <c r="D28" s="10" t="n">
        <v>47582.35</v>
      </c>
      <c r="E28" s="10" t="n">
        <v>24599.85</v>
      </c>
      <c r="F28" s="11" t="n">
        <v>0.1137</v>
      </c>
    </row>
    <row r="29">
      <c r="A29" s="8" t="inlineStr">
        <is>
          <t>2025-09</t>
        </is>
      </c>
      <c r="B29" s="9" t="n">
        <v>195</v>
      </c>
      <c r="C29" s="10" t="n">
        <v>54997.53</v>
      </c>
      <c r="D29" s="10" t="n">
        <v>52378.6</v>
      </c>
      <c r="E29" s="10" t="n">
        <v>26428.7</v>
      </c>
      <c r="F29" s="11" t="n">
        <v>0.1008</v>
      </c>
    </row>
    <row r="30">
      <c r="A30" s="8" t="inlineStr">
        <is>
          <t>2025-10</t>
        </is>
      </c>
      <c r="B30" s="9" t="n">
        <v>208</v>
      </c>
      <c r="C30" s="10" t="n">
        <v>62081.6595</v>
      </c>
      <c r="D30" s="10" t="n">
        <v>59125.39</v>
      </c>
      <c r="E30" s="10" t="n">
        <v>30087.73</v>
      </c>
      <c r="F30" s="11" t="n">
        <v>0.1288</v>
      </c>
    </row>
    <row r="31">
      <c r="A31" s="8" t="inlineStr">
        <is>
          <t>2025-11</t>
        </is>
      </c>
      <c r="B31" s="9" t="n">
        <v>204</v>
      </c>
      <c r="C31" s="10" t="n">
        <v>49067.0565</v>
      </c>
      <c r="D31" s="10" t="n">
        <v>46730.53</v>
      </c>
      <c r="E31" s="10" t="n">
        <v>24647.61</v>
      </c>
      <c r="F31" s="11" t="n">
        <v>-0.2096</v>
      </c>
    </row>
    <row r="32">
      <c r="A32" s="8" t="inlineStr">
        <is>
          <t>2025-12</t>
        </is>
      </c>
      <c r="B32" s="9" t="n">
        <v>207</v>
      </c>
      <c r="C32" s="10" t="n">
        <v>49251.3105</v>
      </c>
      <c r="D32" s="10" t="n">
        <v>46906.01</v>
      </c>
      <c r="E32" s="10" t="n">
        <v>24533.09</v>
      </c>
      <c r="F32" s="11" t="n">
        <v>0.0038</v>
      </c>
    </row>
    <row r="33">
      <c r="A33" s="12" t="inlineStr">
        <is>
          <t>Total / Average</t>
        </is>
      </c>
      <c r="B33" s="13">
        <f>SUM(B9:B32)</f>
        <v/>
      </c>
      <c r="C33" s="14">
        <f>SUM(C9:C32)</f>
        <v/>
      </c>
      <c r="D33" s="14">
        <f>SUM(D9:D32)</f>
        <v/>
      </c>
      <c r="E33" s="14">
        <f>SUM(E9:E32)</f>
        <v/>
      </c>
      <c r="F33" s="15">
        <f>AVERAGE(F9:F32)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3" customWidth="1" min="3" max="3"/>
    <col width="14" customWidth="1" min="4" max="4"/>
    <col width="12" customWidth="1" min="5" max="5"/>
    <col width="15" customWidth="1" min="6" max="6"/>
    <col width="22" customWidth="1" min="7" max="7"/>
    <col width="15" customWidth="1" min="8" max="8"/>
    <col width="22" customWidth="1" min="9" max="9"/>
  </cols>
  <sheetData>
    <row r="1">
      <c r="A1" s="6" t="inlineStr">
        <is>
          <t>Product Category Performance</t>
        </is>
      </c>
    </row>
    <row r="2">
      <c r="A2" s="16" t="inlineStr">
        <is>
          <t>Category</t>
        </is>
      </c>
      <c r="B2" s="16" t="inlineStr">
        <is>
          <t>Total Orders</t>
        </is>
      </c>
      <c r="C2" s="16" t="inlineStr">
        <is>
          <t>Units Sold</t>
        </is>
      </c>
      <c r="D2" s="16" t="inlineStr">
        <is>
          <t>Gross Sales</t>
        </is>
      </c>
      <c r="E2" s="16" t="inlineStr">
        <is>
          <t>Net Sales</t>
        </is>
      </c>
      <c r="F2" s="16" t="inlineStr">
        <is>
          <t>Gross Profit</t>
        </is>
      </c>
      <c r="G2" s="16" t="inlineStr">
        <is>
          <t>Profit Margin %</t>
        </is>
      </c>
      <c r="H2" s="16" t="inlineStr">
        <is>
          <t>Return Count</t>
        </is>
      </c>
      <c r="I2" s="16" t="inlineStr">
        <is>
          <t>Return Rate %</t>
        </is>
      </c>
    </row>
    <row r="3">
      <c r="A3" s="17" t="inlineStr">
        <is>
          <t>Electronics</t>
        </is>
      </c>
      <c r="B3" s="9" t="n">
        <v>887</v>
      </c>
      <c r="C3" s="9" t="n">
        <v>2637</v>
      </c>
      <c r="D3" s="10" t="n">
        <v>513225.33</v>
      </c>
      <c r="E3" s="10" t="n">
        <v>470867.48</v>
      </c>
      <c r="F3" s="10" t="n">
        <v>229336.48</v>
      </c>
      <c r="G3" s="11" t="n">
        <v>0.4871</v>
      </c>
      <c r="H3" s="9" t="n">
        <v>83</v>
      </c>
      <c r="I3" s="11" t="n">
        <v>0.09359999999999999</v>
      </c>
    </row>
    <row r="4">
      <c r="A4" s="17" t="inlineStr">
        <is>
          <t>Home &amp; Kitchen</t>
        </is>
      </c>
      <c r="B4" s="9" t="n">
        <v>1088</v>
      </c>
      <c r="C4" s="9" t="n">
        <v>3338</v>
      </c>
      <c r="D4" s="10" t="n">
        <v>409842.43</v>
      </c>
      <c r="E4" s="10" t="n">
        <v>374699.34</v>
      </c>
      <c r="F4" s="10" t="n">
        <v>193743.34</v>
      </c>
      <c r="G4" s="11" t="n">
        <v>0.5171</v>
      </c>
      <c r="H4" s="9" t="n">
        <v>101</v>
      </c>
      <c r="I4" s="11" t="n">
        <v>0.09279999999999999</v>
      </c>
    </row>
    <row r="5">
      <c r="A5" s="17" t="inlineStr">
        <is>
          <t>Beauty &amp; Care</t>
        </is>
      </c>
      <c r="B5" s="9" t="n">
        <v>1177</v>
      </c>
      <c r="C5" s="9" t="n">
        <v>3500</v>
      </c>
      <c r="D5" s="10" t="n">
        <v>195088.63</v>
      </c>
      <c r="E5" s="10" t="n">
        <v>178679.48</v>
      </c>
      <c r="F5" s="10" t="n">
        <v>101784.48</v>
      </c>
      <c r="G5" s="11" t="n">
        <v>0.5696</v>
      </c>
      <c r="H5" s="9" t="n">
        <v>95</v>
      </c>
      <c r="I5" s="11" t="n">
        <v>0.08070000000000001</v>
      </c>
    </row>
    <row r="6">
      <c r="A6" s="17" t="inlineStr">
        <is>
          <t>Sports &amp; Outdoors</t>
        </is>
      </c>
      <c r="B6" s="9" t="n">
        <v>909</v>
      </c>
      <c r="C6" s="9" t="n">
        <v>2767</v>
      </c>
      <c r="D6" s="10" t="n">
        <v>170122.27</v>
      </c>
      <c r="E6" s="10" t="n">
        <v>156529.72</v>
      </c>
      <c r="F6" s="10" t="n">
        <v>86982.72</v>
      </c>
      <c r="G6" s="11" t="n">
        <v>0.5557</v>
      </c>
      <c r="H6" s="9" t="n">
        <v>97</v>
      </c>
      <c r="I6" s="11" t="n">
        <v>0.1067</v>
      </c>
    </row>
    <row r="7">
      <c r="A7" s="17" t="inlineStr">
        <is>
          <t>Apparel</t>
        </is>
      </c>
      <c r="B7" s="9" t="n">
        <v>853</v>
      </c>
      <c r="C7" s="9" t="n">
        <v>2519</v>
      </c>
      <c r="D7" s="10" t="n">
        <v>117158.27</v>
      </c>
      <c r="E7" s="10" t="n">
        <v>107139.09</v>
      </c>
      <c r="F7" s="10" t="n">
        <v>60817.09</v>
      </c>
      <c r="G7" s="11" t="n">
        <v>0.5676</v>
      </c>
      <c r="H7" s="9" t="n">
        <v>83</v>
      </c>
      <c r="I7" s="11" t="n">
        <v>0.0973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1" customWidth="1" min="3" max="3"/>
    <col width="22" customWidth="1" min="4" max="4"/>
    <col width="21" customWidth="1" min="5" max="5"/>
    <col width="24" customWidth="1" min="6" max="6"/>
  </cols>
  <sheetData>
    <row r="1">
      <c r="A1" s="6" t="inlineStr">
        <is>
          <t>Customer RFM Segment Performance</t>
        </is>
      </c>
    </row>
    <row r="2">
      <c r="A2" s="7" t="inlineStr">
        <is>
          <t>RFM Segment</t>
        </is>
      </c>
      <c r="B2" s="7" t="inlineStr">
        <is>
          <t>Customer Count</t>
        </is>
      </c>
      <c r="C2" s="7" t="inlineStr">
        <is>
          <t>Avg Recency (Days)</t>
        </is>
      </c>
      <c r="D2" s="7" t="inlineStr">
        <is>
          <t>Avg Order Frequency</t>
        </is>
      </c>
      <c r="E2" s="7" t="inlineStr">
        <is>
          <t>Avg Monetary Value</t>
        </is>
      </c>
      <c r="F2" s="7" t="inlineStr">
        <is>
          <t>Total Segment Revenue</t>
        </is>
      </c>
    </row>
    <row r="3">
      <c r="A3" s="17" t="inlineStr">
        <is>
          <t>Loyal Customers</t>
        </is>
      </c>
      <c r="B3" s="9" t="n">
        <v>415</v>
      </c>
      <c r="C3" s="18" t="n">
        <v>54.9</v>
      </c>
      <c r="D3" s="18" t="n">
        <v>5.58</v>
      </c>
      <c r="E3" s="10" t="n">
        <v>1126.84</v>
      </c>
      <c r="F3" s="10" t="n">
        <v>467637.04</v>
      </c>
    </row>
    <row r="4">
      <c r="A4" s="17" t="inlineStr">
        <is>
          <t>At-Risk</t>
        </is>
      </c>
      <c r="B4" s="9" t="n">
        <v>352</v>
      </c>
      <c r="C4" s="18" t="n">
        <v>230.1</v>
      </c>
      <c r="D4" s="18" t="n">
        <v>4.95</v>
      </c>
      <c r="E4" s="10" t="n">
        <v>1184.62</v>
      </c>
      <c r="F4" s="10" t="n">
        <v>416986.28</v>
      </c>
    </row>
    <row r="5">
      <c r="A5" s="17" t="inlineStr">
        <is>
          <t>Champions</t>
        </is>
      </c>
      <c r="B5" s="9" t="n">
        <v>86</v>
      </c>
      <c r="C5" s="18" t="n">
        <v>26.3</v>
      </c>
      <c r="D5" s="18" t="n">
        <v>7.16</v>
      </c>
      <c r="E5" s="10" t="n">
        <v>2499.06</v>
      </c>
      <c r="F5" s="10" t="n">
        <v>214919.14</v>
      </c>
    </row>
    <row r="6">
      <c r="A6" s="17" t="inlineStr">
        <is>
          <t>Lost Customers</t>
        </is>
      </c>
      <c r="B6" s="9" t="n">
        <v>95</v>
      </c>
      <c r="C6" s="18" t="n">
        <v>358.2</v>
      </c>
      <c r="D6" s="18" t="n">
        <v>1.72</v>
      </c>
      <c r="E6" s="10" t="n">
        <v>494.47</v>
      </c>
      <c r="F6" s="10" t="n">
        <v>46974.79</v>
      </c>
    </row>
    <row r="7">
      <c r="A7" s="17" t="inlineStr">
        <is>
          <t>Potential Loyalists</t>
        </is>
      </c>
      <c r="B7" s="9" t="n">
        <v>42</v>
      </c>
      <c r="C7" s="18" t="n">
        <v>50.9</v>
      </c>
      <c r="D7" s="18" t="n">
        <v>1.81</v>
      </c>
      <c r="E7" s="10" t="n">
        <v>535.65</v>
      </c>
      <c r="F7" s="10" t="n">
        <v>22497.15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2026-09-05T15:07:59Z</dcterms:created>
  <dcterms:modified xsi:type="dcterms:W3CDTF">2026-09-05T15:07:59Z</dcterms:modified>
</cp:coreProperties>
</file>